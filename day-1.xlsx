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y\Downloads\"/>
    </mc:Choice>
  </mc:AlternateContent>
  <xr:revisionPtr revIDLastSave="0" documentId="13_ncr:1_{3E0A676E-C284-4C78-9469-898BF48A8EEA}" xr6:coauthVersionLast="47" xr6:coauthVersionMax="47" xr10:uidLastSave="{00000000-0000-0000-0000-000000000000}"/>
  <bookViews>
    <workbookView xWindow="-108" yWindow="-108" windowWidth="23256" windowHeight="12456" xr2:uid="{8CC14DB0-70DE-4EE5-8533-3313604C6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D15" i="1"/>
  <c r="C15" i="1"/>
  <c r="B15" i="1"/>
  <c r="A15" i="1"/>
  <c r="C14" i="1"/>
  <c r="B14" i="1"/>
  <c r="A14" i="1"/>
  <c r="D12" i="1"/>
</calcChain>
</file>

<file path=xl/sharedStrings.xml><?xml version="1.0" encoding="utf-8"?>
<sst xmlns="http://schemas.openxmlformats.org/spreadsheetml/2006/main" count="14" uniqueCount="14">
  <si>
    <t>s_id</t>
  </si>
  <si>
    <t>s_name</t>
  </si>
  <si>
    <t>marks</t>
  </si>
  <si>
    <t>age</t>
  </si>
  <si>
    <t>uday</t>
  </si>
  <si>
    <t>kiran</t>
  </si>
  <si>
    <t>sai</t>
  </si>
  <si>
    <t>santhu</t>
  </si>
  <si>
    <t>vicky</t>
  </si>
  <si>
    <t>thiru</t>
  </si>
  <si>
    <t>bavi</t>
  </si>
  <si>
    <t>shannu</t>
  </si>
  <si>
    <t>vignesh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</si>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</sst>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21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Sheet1!$D$2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3-4B0F-A8FC-237792774F0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Sheet1!$D$3</c:f>
              <c:numCache>
                <c:formatCode>General</c:formatCode>
                <c:ptCount val="1"/>
                <c:pt idx="0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3-4B0F-A8FC-237792774F04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22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Sheet1!$D$4</c:f>
              <c:numCache>
                <c:formatCode>General</c:formatCode>
                <c:ptCount val="1"/>
                <c:pt idx="0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3-4B0F-A8FC-237792774F04}"/>
            </c:ext>
          </c:extLst>
        </c:ser>
        <c:ser>
          <c:idx val="3"/>
          <c:order val="3"/>
          <c:tx>
            <c:strRef>
              <c:f>Sheet1!$C$5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Sheet1!$D$5</c:f>
              <c:numCache>
                <c:formatCode>General</c:formatCode>
                <c:ptCount val="1"/>
                <c:pt idx="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13-4B0F-A8FC-237792774F04}"/>
            </c:ext>
          </c:extLst>
        </c:ser>
        <c:ser>
          <c:idx val="4"/>
          <c:order val="4"/>
          <c:tx>
            <c:strRef>
              <c:f>Sheet1!$C$6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Sheet1!$D$6</c:f>
              <c:numCache>
                <c:formatCode>General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13-4B0F-A8FC-237792774F04}"/>
            </c:ext>
          </c:extLst>
        </c:ser>
        <c:ser>
          <c:idx val="5"/>
          <c:order val="5"/>
          <c:tx>
            <c:strRef>
              <c:f>Sheet1!$C$7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Sheet1!$D$7</c:f>
              <c:numCache>
                <c:formatCode>General</c:formatCode>
                <c:ptCount val="1"/>
                <c:pt idx="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13-4B0F-A8FC-237792774F04}"/>
            </c:ext>
          </c:extLst>
        </c:ser>
        <c:ser>
          <c:idx val="6"/>
          <c:order val="6"/>
          <c:tx>
            <c:strRef>
              <c:f>Sheet1!$C$8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Sheet1!$D$8</c:f>
              <c:numCache>
                <c:formatCode>General</c:formatCode>
                <c:ptCount val="1"/>
                <c:pt idx="0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13-4B0F-A8FC-237792774F04}"/>
            </c:ext>
          </c:extLst>
        </c:ser>
        <c:ser>
          <c:idx val="7"/>
          <c:order val="7"/>
          <c:tx>
            <c:strRef>
              <c:f>Sheet1!$C$9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Sheet1!$D$9</c:f>
              <c:numCache>
                <c:formatCode>General</c:formatCode>
                <c:ptCount val="1"/>
                <c:pt idx="0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13-4B0F-A8FC-237792774F04}"/>
            </c:ext>
          </c:extLst>
        </c:ser>
        <c:ser>
          <c:idx val="8"/>
          <c:order val="8"/>
          <c:tx>
            <c:strRef>
              <c:f>Sheet1!$C$10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Sheet1!$D$10</c:f>
              <c:numCache>
                <c:formatCode>General</c:formatCode>
                <c:ptCount val="1"/>
                <c:pt idx="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13-4B0F-A8FC-237792774F04}"/>
            </c:ext>
          </c:extLst>
        </c:ser>
        <c:ser>
          <c:idx val="9"/>
          <c:order val="9"/>
          <c:tx>
            <c:strRef>
              <c:f>Sheet1!$C$11</c:f>
              <c:strCache>
                <c:ptCount val="1"/>
                <c:pt idx="0">
                  <c:v>21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Sheet1!$E$18</c:f>
              <c:numCache>
                <c:formatCode>General</c:formatCode>
                <c:ptCount val="1"/>
              </c:numCache>
            </c:numRef>
          </c:xVal>
          <c:yVal>
            <c:numRef>
              <c:f>Sheet1!$D$11</c:f>
              <c:numCache>
                <c:formatCode>General</c:formatCode>
                <c:ptCount val="1"/>
                <c:pt idx="0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13-4B0F-A8FC-23779277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2847"/>
        <c:axId val="59962367"/>
      </c:scatterChart>
      <c:valAx>
        <c:axId val="599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2367"/>
        <c:crosses val="autoZero"/>
        <c:crossBetween val="midCat"/>
      </c:valAx>
      <c:valAx>
        <c:axId val="599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CD666B-32AE-646F-3979-20EB20C95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19B0-9A48-4014-837C-3C3E542FC793}">
  <dimension ref="A1:D16"/>
  <sheetViews>
    <sheetView tabSelected="1" workbookViewId="0">
      <selection activeCell="R17" sqref="R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 t="s">
        <v>4</v>
      </c>
      <c r="C2">
        <v>21</v>
      </c>
      <c r="D2">
        <v>75</v>
      </c>
    </row>
    <row r="3" spans="1:4" x14ac:dyDescent="0.3">
      <c r="A3">
        <v>2</v>
      </c>
      <c r="B3" t="s">
        <v>5</v>
      </c>
      <c r="C3">
        <v>20</v>
      </c>
      <c r="D3">
        <v>83</v>
      </c>
    </row>
    <row r="4" spans="1:4" x14ac:dyDescent="0.3">
      <c r="A4">
        <v>3</v>
      </c>
      <c r="B4" t="s">
        <v>6</v>
      </c>
      <c r="C4">
        <v>22</v>
      </c>
      <c r="D4">
        <v>94</v>
      </c>
    </row>
    <row r="5" spans="1:4" x14ac:dyDescent="0.3">
      <c r="A5">
        <v>4</v>
      </c>
      <c r="B5" t="s">
        <v>7</v>
      </c>
      <c r="C5">
        <v>19</v>
      </c>
      <c r="D5">
        <v>96</v>
      </c>
    </row>
    <row r="6" spans="1:4" x14ac:dyDescent="0.3">
      <c r="A6">
        <v>5</v>
      </c>
      <c r="B6" t="s">
        <v>8</v>
      </c>
      <c r="C6">
        <v>19</v>
      </c>
      <c r="D6">
        <v>80</v>
      </c>
    </row>
    <row r="7" spans="1:4" x14ac:dyDescent="0.3">
      <c r="A7">
        <v>6</v>
      </c>
      <c r="B7" t="s">
        <v>9</v>
      </c>
      <c r="C7">
        <v>20</v>
      </c>
      <c r="D7">
        <v>95</v>
      </c>
    </row>
    <row r="8" spans="1:4" x14ac:dyDescent="0.3">
      <c r="A8">
        <v>7</v>
      </c>
      <c r="B8" t="s">
        <v>10</v>
      </c>
      <c r="C8">
        <v>18</v>
      </c>
      <c r="D8">
        <v>77</v>
      </c>
    </row>
    <row r="9" spans="1:4" x14ac:dyDescent="0.3">
      <c r="A9">
        <v>8</v>
      </c>
      <c r="B9" t="s">
        <v>11</v>
      </c>
      <c r="C9">
        <v>19</v>
      </c>
      <c r="D9">
        <v>73</v>
      </c>
    </row>
    <row r="10" spans="1:4" x14ac:dyDescent="0.3">
      <c r="A10">
        <v>9</v>
      </c>
      <c r="B10" t="s">
        <v>12</v>
      </c>
      <c r="C10">
        <v>20</v>
      </c>
      <c r="D10">
        <v>90</v>
      </c>
    </row>
    <row r="11" spans="1:4" x14ac:dyDescent="0.3">
      <c r="A11">
        <v>10</v>
      </c>
      <c r="B11" t="s">
        <v>13</v>
      </c>
      <c r="C11">
        <v>21</v>
      </c>
      <c r="D11">
        <v>77</v>
      </c>
    </row>
    <row r="12" spans="1:4" x14ac:dyDescent="0.3">
      <c r="D12">
        <f>SUM(G3,D2:D11)</f>
        <v>840</v>
      </c>
    </row>
    <row r="14" spans="1:4" x14ac:dyDescent="0.3">
      <c r="A14">
        <f>AVERAGE(E3,D2:D11)</f>
        <v>84</v>
      </c>
      <c r="B14">
        <f>MEDIAN(D2:D12)</f>
        <v>83</v>
      </c>
      <c r="C14">
        <f>MODE(D2:D11)</f>
        <v>77</v>
      </c>
    </row>
    <row r="15" spans="1:4" x14ac:dyDescent="0.3">
      <c r="A15">
        <f>MAX(D2:D11)</f>
        <v>96</v>
      </c>
      <c r="B15">
        <f>MIN(D2:D11)</f>
        <v>73</v>
      </c>
      <c r="C15">
        <f>MAX(D2:D11)-MIN(D2:D11)</f>
        <v>23</v>
      </c>
      <c r="D15">
        <f>_xlfn.VAR.S(D2:D11)</f>
        <v>79.777777777777771</v>
      </c>
    </row>
    <row r="16" spans="1:4" x14ac:dyDescent="0.3">
      <c r="B16">
        <f>_xlfn.STDEV.S(D2:D11)</f>
        <v>8.9318406713161753</v>
      </c>
      <c r="C16">
        <f>CORREL(C2:C11,D2:D11)</f>
        <v>0.21820375374841655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Kiran</dc:creator>
  <cp:lastModifiedBy>Uday Kiran</cp:lastModifiedBy>
  <dcterms:created xsi:type="dcterms:W3CDTF">2026-05-29T01:50:34Z</dcterms:created>
  <dcterms:modified xsi:type="dcterms:W3CDTF">2026-05-29T02:53:15Z</dcterms:modified>
</cp:coreProperties>
</file>